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&amp;M.Div" sheetId="1" state="visible" r:id="rId1"/>
    <sheet name="Th.M&amp;Ph.D" sheetId="2" state="visible" r:id="rId2"/>
    <sheet name="D.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>
        <f>HYPERLINK("https://catalog.les.edu/cgi-bin/koha/opac-shelves.pl?op=view&amp;shelfnumber=1120", "CHS510 教會歷史 0")</f>
        <v/>
      </c>
      <c r="B1">
        <f>HYPERLINK("https://catalog.les.edu/cgi-bin/koha/opac-shelves.pl?op=view&amp;shelfnumber=1121", "CHS525 中國教會史 0")</f>
        <v/>
      </c>
      <c r="C1">
        <f>HYPERLINK("https://catalog.les.edu/cgi-bin/koha/opac-shelves.pl?op=view&amp;shelfnumber=1106", "ICS544 基督教文化人類學 8")</f>
        <v/>
      </c>
    </row>
    <row r="2">
      <c r="A2">
        <f>HYPERLINK("https://catalog.les.edu/cgi-bin/koha/opac-shelves.pl?op=view&amp;shelfnumber=1122", "ICS567 信仰與職場領導力 0")</f>
        <v/>
      </c>
      <c r="B2">
        <f>HYPERLINK("https://catalog.les.edu/cgi-bin/koha/opac-shelves.pl?op=view&amp;shelfnumber=1123", "LAS511 希臘文 I  0")</f>
        <v/>
      </c>
      <c r="C2">
        <f>HYPERLINK("https://catalog.les.edu/cgi-bin/koha/opac-shelves.pl?op=view&amp;shelfnumber=1101", "LAS511 希臘文Ⅰ 8")</f>
        <v/>
      </c>
    </row>
    <row r="3">
      <c r="A3">
        <f>HYPERLINK("https://catalog.les.edu/cgi-bin/koha/opac-shelves.pl?op=view&amp;shelfnumber=1103", "LAS531 希伯來文Ⅰ 3")</f>
        <v/>
      </c>
      <c r="B3">
        <f>HYPERLINK("https://catalog.les.edu/cgi-bin/koha/opac-shelves.pl?op=view&amp;shelfnumber=1108", "NTS501 新約綜覽Ⅰ 39")</f>
        <v/>
      </c>
      <c r="C3">
        <f>HYPERLINK("https://catalog.les.edu/cgi-bin/koha/opac-shelves.pl?op=view&amp;shelfnumber=1109", "NTS588 希臘文解經Ⅰ 9")</f>
        <v/>
      </c>
    </row>
    <row r="4">
      <c r="A4">
        <f>HYPERLINK("https://catalog.les.edu/cgi-bin/koha/opac-shelves.pl?op=view&amp;shelfnumber=1112", "OTS542 摩西五經  2")</f>
        <v/>
      </c>
      <c r="B4">
        <f>HYPERLINK("https://catalog.les.edu/cgi-bin/koha/opac-shelves.pl?op=view&amp;shelfnumber=1116", "OTS542 摩西五經 64")</f>
        <v/>
      </c>
      <c r="C4">
        <f>HYPERLINK("https://catalog.les.edu/cgi-bin/koha/opac-shelves.pl?op=view&amp;shelfnumber=1124", "OTS557 箴言書中的大智慧 0")</f>
        <v/>
      </c>
    </row>
    <row r="5">
      <c r="A5">
        <f>HYPERLINK("https://catalog.les.edu/cgi-bin/koha/opac-shelves.pl?op=view&amp;shelfnumber=1104", "OTS559 先知書研究 34")</f>
        <v/>
      </c>
      <c r="B5">
        <f>HYPERLINK("https://catalog.les.edu/cgi-bin/koha/opac-shelves.pl?op=view&amp;shelfnumber=1125", "PCS515 臨終關懷 9")</f>
        <v/>
      </c>
      <c r="C5">
        <f>HYPERLINK("https://catalog.les.edu/cgi-bin/koha/opac-shelves.pl?op=view&amp;shelfnumber=1126", "PCS524 情緒聚焦療法與靈命更新 0")</f>
        <v/>
      </c>
    </row>
    <row r="6">
      <c r="A6">
        <f>HYPERLINK("https://catalog.les.edu/cgi-bin/koha/opac-shelves.pl?op=view&amp;shelfnumber=1107", "PCS531 教牧協談Ⅰ(張) 11")</f>
        <v/>
      </c>
      <c r="B6">
        <f>HYPERLINK("https://catalog.les.edu/cgi-bin/koha/opac-shelves.pl?op=view&amp;shelfnumber=1098", "PCS531 教牧協談Ⅰ(林) 12")</f>
        <v/>
      </c>
      <c r="C6">
        <f>HYPERLINK("https://catalog.les.edu/cgi-bin/koha/opac-shelves.pl?op=view&amp;shelfnumber=1099", "PCS582 心理病理學概論 13")</f>
        <v/>
      </c>
    </row>
    <row r="7">
      <c r="A7">
        <f>HYPERLINK("https://catalog.les.edu/cgi-bin/koha/opac-shelves.pl?op=view&amp;shelfnumber=1127", "PTS506 靈性陪伴 0")</f>
        <v/>
      </c>
      <c r="B7">
        <f>HYPERLINK("https://catalog.les.edu/cgi-bin/koha/opac-shelves.pl?op=view&amp;shelfnumber=1110", "PTS519 靈命塑造及操練 19")</f>
        <v/>
      </c>
      <c r="C7">
        <f>HYPERLINK("https://catalog.les.edu/cgi-bin/koha/opac-shelves.pl?op=view&amp;shelfnumber=1118", "PTS521 講道學Ⅰ 12")</f>
        <v/>
      </c>
    </row>
    <row r="8">
      <c r="A8">
        <f>HYPERLINK("https://catalog.les.edu/cgi-bin/koha/opac-shelves.pl?op=view&amp;shelfnumber=1128", "PTS535 事工策略領導 0")</f>
        <v/>
      </c>
      <c r="B8">
        <f>HYPERLINK("https://catalog.les.edu/cgi-bin/koha/opac-shelves.pl?op=view&amp;shelfnumber=1100", "PTS572 Asian American Ministry  10")</f>
        <v/>
      </c>
      <c r="C8">
        <f>HYPERLINK("https://catalog.les.edu/cgi-bin/koha/opac-shelves.pl?op=view&amp;shelfnumber=1102", "TSS500 釋經學(羅) 11")</f>
        <v/>
      </c>
    </row>
    <row r="9">
      <c r="A9">
        <f>HYPERLINK("https://catalog.les.edu/cgi-bin/koha/opac-shelves.pl?op=view&amp;shelfnumber=1115", "TSS500 釋經學(蔡) 11")</f>
        <v/>
      </c>
      <c r="B9">
        <f>HYPERLINK("https://catalog.les.edu/cgi-bin/koha/opac-shelves.pl?op=view&amp;shelfnumber=1129", "TSS504 圖書資訊研究方法 0")</f>
        <v/>
      </c>
      <c r="C9">
        <f>HYPERLINK("https://catalog.les.edu/cgi-bin/koha/opac-shelves.pl?op=view&amp;shelfnumber=1130", "TSS510 神學綜覽 0")</f>
        <v/>
      </c>
    </row>
    <row r="10">
      <c r="A10">
        <f>HYPERLINK("https://catalog.les.edu/cgi-bin/koha/opac-shelves.pl?op=view&amp;shelfnumber=1117", "TSS529 倫理學 18")</f>
        <v/>
      </c>
      <c r="B10">
        <f>HYPERLINK("https://catalog.les.edu/cgi-bin/koha/opac-shelves.pl?op=view&amp;shelfnumber=1131", "TSS536 聖靈成聖與門訓 0")</f>
        <v/>
      </c>
      <c r="C10">
        <f>HYPERLINK("https://catalog.les.edu/cgi-bin/koha/opac-shelves.pl?op=view&amp;shelfnumber=1132", "TSS538 教會論 0")</f>
        <v/>
      </c>
    </row>
    <row r="11">
      <c r="A11" t="inlineStr"/>
      <c r="B11" t="inlineStr"/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>
        <f>HYPERLINK("https://catalog.les.edu/cgi-bin/koha/opac-shelves.pl?op=view&amp;shelfnumber=1113", "NTS764 NT Seminar  6")</f>
        <v/>
      </c>
      <c r="B1">
        <f>HYPERLINK("https://catalog.les.edu/cgi-bin/koha/opac-shelves.pl?op=view&amp;shelfnumber=1133", "NTS901 R&amp;M in NT  0")</f>
        <v/>
      </c>
      <c r="C1">
        <f>HYPERLINK("https://catalog.les.edu/cgi-bin/koha/opac-shelves.pl?op=view&amp;shelfnumber=1135", "NTS964 哥林多後書 0")</f>
        <v/>
      </c>
    </row>
    <row r="2">
      <c r="A2">
        <f>HYPERLINK("https://catalog.les.edu/cgi-bin/koha/opac-shelves.pl?op=view&amp;shelfnumber=1134", "OTS901 R&amp;M in OT  0")</f>
        <v/>
      </c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>
        <f>HYPERLINK("https://catalog.les.edu/cgi-bin/koha/opac-shelves.pl?op=view&amp;shelfnumber=1091", "MCS868 使徒行傳與差傳 14")</f>
        <v/>
      </c>
      <c r="B1">
        <f>HYPERLINK("https://catalog.les.edu/cgi-bin/koha/opac-shelves.pl?op=view&amp;shelfnumber=1092", "PTS855 情緒健康的教牧領導 19")</f>
        <v/>
      </c>
      <c r="C1">
        <f>HYPERLINK("https://catalog.les.edu/cgi-bin/koha/opac-shelves.pl?op=view&amp;shelfnumber=1093", "TSS871 教牧博士論文提案寫作指導 12")</f>
        <v/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2024-07-18T06:52:52Z</dcterms:created>
  <dcterms:modified xsi:type="dcterms:W3CDTF">2024-07-18T06:52:52Z</dcterms:modified>
</cp:coreProperties>
</file>